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<sst xmlns="http://schemas.openxmlformats.org/spreadsheetml/2006/main" count="47" uniqueCount="40">
  <si>
    <t xml:space="preserve">Wimsatt Welder Enterprises </t>
  </si>
  <si>
    <t xml:space="preserve">Welder Repair </t>
  </si>
  <si>
    <t>Quantity :</t>
  </si>
  <si>
    <t>Lincoln Ranger 225 Todd Grubb</t>
  </si>
  <si>
    <t>Part Number:</t>
  </si>
  <si>
    <t>Feb 16th received</t>
  </si>
  <si>
    <t xml:space="preserve">Evaluation </t>
  </si>
  <si>
    <t>L</t>
  </si>
  <si>
    <t xml:space="preserve">DCZ checked out good. </t>
  </si>
  <si>
    <t>oil leak on engine body at seam.</t>
  </si>
  <si>
    <t xml:space="preserve">note mechanical fuel pump </t>
  </si>
  <si>
    <t>rotor and stator checked out Good.</t>
  </si>
  <si>
    <t>Engine requires removal of engine to repair oil leak</t>
  </si>
  <si>
    <t>the engine casing must be split open to repair oil leak</t>
  </si>
  <si>
    <t>oil change required after opening the engine.</t>
  </si>
  <si>
    <t>Electric fuel pump for more reliability, and less risk of diaphragm leakage of fuel into the oil.</t>
  </si>
  <si>
    <t>pressure washing to remove dirt and debris that could accumulate and cause damage later.</t>
  </si>
  <si>
    <t>DCZ repair and placement.</t>
  </si>
  <si>
    <t>removing old and contaminated fuel.</t>
  </si>
  <si>
    <t>Split Engine Casing to repair oil leak</t>
  </si>
  <si>
    <t xml:space="preserve">And replace O-ring </t>
  </si>
  <si>
    <t xml:space="preserve">remove engine </t>
  </si>
  <si>
    <t>pressure wash engine</t>
  </si>
  <si>
    <t>Reassemble unit.</t>
  </si>
  <si>
    <t>replace fuel pump with electric unit.</t>
  </si>
  <si>
    <t>install new fuel lines.</t>
  </si>
  <si>
    <t>Replace pickup tube and seal</t>
  </si>
  <si>
    <t>Parts</t>
  </si>
  <si>
    <t>Shop Supplies :</t>
  </si>
  <si>
    <t xml:space="preserve">Oil change </t>
  </si>
  <si>
    <t xml:space="preserve">oil disposal </t>
  </si>
  <si>
    <t>E</t>
  </si>
  <si>
    <t>Oil pressure O-ring</t>
  </si>
  <si>
    <t>gas tank seal</t>
  </si>
  <si>
    <t>pickup tube</t>
  </si>
  <si>
    <t xml:space="preserve">fuel pump </t>
  </si>
  <si>
    <t xml:space="preserve">fuel line </t>
  </si>
  <si>
    <t>Labor and parts sum.</t>
  </si>
  <si>
    <t>Tax:%</t>
  </si>
  <si>
    <t xml:space="preserve"> TOTAL ESTIMATE: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</si>
</sst>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u/>
      <color theme="1"/>
      <name val="Arial"/>
    </font>
    <font>
      <b/>
      <color theme="1"/>
      <name val="Arial"/>
    </font>
    <font>
      <b/>
      <u/>
      <color theme="1"/>
      <name val="Arial"/>
    </font>
    <font>
      <b/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Font="1"/>
    <xf borderId="0" fillId="0" fontId="2" numFmtId="165" xfId="0" applyAlignment="1" applyFont="1" applyNumberFormat="1">
      <alignment horizontal="righ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3" max="3" width="7.88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1" t="s">
        <v>3</v>
      </c>
      <c r="B2" s="2" t="s">
        <v>4</v>
      </c>
      <c r="D2" s="3"/>
    </row>
    <row r="3">
      <c r="A3" s="2" t="s">
        <v>5</v>
      </c>
      <c r="D3" s="4"/>
    </row>
    <row r="4">
      <c r="A4" s="1" t="s">
        <v>6</v>
      </c>
      <c r="B4" s="1" t="s">
        <v>7</v>
      </c>
      <c r="C4" s="1">
        <v>2.0</v>
      </c>
      <c r="D4" s="5">
        <v>200.0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" t="s">
        <v>8</v>
      </c>
      <c r="B5" s="2"/>
      <c r="C5" s="2"/>
      <c r="D5" s="7"/>
    </row>
    <row r="6">
      <c r="A6" s="2" t="s">
        <v>9</v>
      </c>
      <c r="B6" s="2"/>
      <c r="C6" s="2"/>
      <c r="D6" s="7"/>
    </row>
    <row r="7">
      <c r="A7" s="2" t="s">
        <v>10</v>
      </c>
      <c r="B7" s="2"/>
      <c r="C7" s="2"/>
      <c r="D7" s="7"/>
    </row>
    <row r="8">
      <c r="A8" s="2" t="s">
        <v>11</v>
      </c>
      <c r="B8" s="2"/>
      <c r="C8" s="2"/>
      <c r="D8" s="7"/>
    </row>
    <row r="9">
      <c r="A9" s="2"/>
      <c r="B9" s="2"/>
      <c r="C9" s="2"/>
      <c r="D9" s="7"/>
    </row>
    <row r="10">
      <c r="A10" s="2" t="s">
        <v>12</v>
      </c>
      <c r="B10" s="2"/>
      <c r="C10" s="2"/>
      <c r="D10" s="7"/>
    </row>
    <row r="11">
      <c r="A11" s="2" t="s">
        <v>13</v>
      </c>
      <c r="B11" s="2"/>
      <c r="C11" s="2"/>
      <c r="D11" s="7"/>
    </row>
    <row r="12">
      <c r="A12" s="2"/>
      <c r="B12" s="2"/>
      <c r="C12" s="2"/>
      <c r="D12" s="7"/>
    </row>
    <row r="13">
      <c r="A13" s="2" t="s">
        <v>14</v>
      </c>
      <c r="B13" s="2"/>
      <c r="C13" s="2"/>
      <c r="D13" s="7"/>
    </row>
    <row r="14">
      <c r="A14" s="2" t="s">
        <v>15</v>
      </c>
      <c r="B14" s="2"/>
      <c r="C14" s="2"/>
      <c r="D14" s="7"/>
    </row>
    <row r="15">
      <c r="A15" s="2" t="s">
        <v>16</v>
      </c>
      <c r="B15" s="2"/>
      <c r="C15" s="2"/>
      <c r="D15" s="7"/>
    </row>
    <row r="16">
      <c r="A16" s="2"/>
      <c r="B16" s="2"/>
      <c r="C16" s="2"/>
      <c r="D16" s="7"/>
    </row>
    <row r="17">
      <c r="A17" s="2"/>
      <c r="B17" s="2"/>
      <c r="C17" s="2"/>
      <c r="D17" s="7"/>
    </row>
    <row r="18">
      <c r="A18" s="2"/>
      <c r="B18" s="2"/>
      <c r="C18" s="2"/>
      <c r="D18" s="7"/>
    </row>
    <row r="19">
      <c r="A19" s="1" t="s">
        <v>17</v>
      </c>
      <c r="B19" s="2"/>
      <c r="C19" s="2">
        <v>4.0</v>
      </c>
      <c r="D19" s="7">
        <v>400.0</v>
      </c>
    </row>
    <row r="20">
      <c r="A20" s="8" t="s">
        <v>18</v>
      </c>
      <c r="B20" s="2" t="s">
        <v>7</v>
      </c>
      <c r="C20" s="9">
        <v>1.5</v>
      </c>
      <c r="D20" s="7">
        <v>150.0</v>
      </c>
      <c r="E20" s="2"/>
    </row>
    <row r="21">
      <c r="A21" s="10" t="s">
        <v>19</v>
      </c>
      <c r="B21" s="2" t="s">
        <v>7</v>
      </c>
      <c r="C21" s="9">
        <v>6.0</v>
      </c>
      <c r="D21" s="7">
        <v>600.0</v>
      </c>
      <c r="E21" s="2"/>
    </row>
    <row r="22">
      <c r="A22" s="10" t="s">
        <v>20</v>
      </c>
      <c r="B22" s="2"/>
      <c r="C22" s="11"/>
      <c r="D22" s="7"/>
      <c r="E22" s="2"/>
    </row>
    <row r="23">
      <c r="A23" s="12" t="s">
        <v>21</v>
      </c>
      <c r="B23" s="2"/>
      <c r="C23" s="13"/>
      <c r="D23" s="7"/>
      <c r="E23" s="2"/>
    </row>
    <row r="24">
      <c r="A24" s="14" t="s">
        <v>22</v>
      </c>
      <c r="B24" s="2" t="s">
        <v>7</v>
      </c>
      <c r="C24" s="8">
        <v>2.0</v>
      </c>
      <c r="D24" s="7">
        <v>200.0</v>
      </c>
      <c r="E24" s="2"/>
    </row>
    <row r="25">
      <c r="A25" s="8" t="s">
        <v>23</v>
      </c>
      <c r="B25" s="2" t="s">
        <v>7</v>
      </c>
      <c r="C25" s="13"/>
      <c r="D25" s="7"/>
      <c r="E25" s="2"/>
    </row>
    <row r="26">
      <c r="A26" s="15" t="s">
        <v>24</v>
      </c>
      <c r="B26" s="2" t="s">
        <v>7</v>
      </c>
      <c r="C26" s="9">
        <v>2.0</v>
      </c>
      <c r="D26" s="7">
        <v>200.0</v>
      </c>
      <c r="E26" s="2"/>
    </row>
    <row r="27">
      <c r="A27" s="13" t="s">
        <v>25</v>
      </c>
      <c r="B27" s="2" t="s">
        <v>7</v>
      </c>
      <c r="C27" s="8"/>
      <c r="D27" s="7"/>
      <c r="E27" s="2"/>
    </row>
    <row r="28">
      <c r="A28" s="8" t="s">
        <v>26</v>
      </c>
      <c r="B28" s="2" t="s">
        <v>7</v>
      </c>
      <c r="C28" s="9"/>
      <c r="D28" s="7"/>
      <c r="E28" s="2"/>
    </row>
    <row r="29">
      <c r="A29" s="16" t="s">
        <v>27</v>
      </c>
      <c r="D29" s="7"/>
    </row>
    <row r="30">
      <c r="A30" s="1" t="s">
        <v>28</v>
      </c>
      <c r="D30" s="4">
        <v>40.0</v>
      </c>
    </row>
    <row r="31">
      <c r="A31" s="2" t="s">
        <v>29</v>
      </c>
      <c r="B31" s="17"/>
      <c r="C31" s="17">
        <v>1.0</v>
      </c>
      <c r="D31" s="7">
        <v>65.0</v>
      </c>
      <c r="E31" s="2"/>
    </row>
    <row r="32">
      <c r="A32" s="2" t="s">
        <v>30</v>
      </c>
      <c r="B32" s="2" t="s">
        <v>31</v>
      </c>
      <c r="C32" s="2">
        <v>0.3</v>
      </c>
      <c r="D32" s="7">
        <v>30.0</v>
      </c>
    </row>
    <row r="33">
      <c r="A33" s="2" t="s">
        <v>32</v>
      </c>
      <c r="B33" s="2"/>
      <c r="C33" s="2">
        <v>1.0</v>
      </c>
      <c r="D33" s="7">
        <v>20.0</v>
      </c>
    </row>
    <row r="34">
      <c r="A34" s="2" t="s">
        <v>33</v>
      </c>
      <c r="B34" s="2"/>
      <c r="C34" s="2">
        <v>1.0</v>
      </c>
      <c r="D34" s="7">
        <v>24.0</v>
      </c>
      <c r="E34" s="2"/>
    </row>
    <row r="35">
      <c r="A35" s="2" t="s">
        <v>34</v>
      </c>
      <c r="B35" s="2"/>
      <c r="C35" s="2">
        <v>1.0</v>
      </c>
      <c r="D35" s="7">
        <v>10.0</v>
      </c>
    </row>
    <row r="36">
      <c r="A36" s="2" t="s">
        <v>35</v>
      </c>
      <c r="B36" s="2"/>
      <c r="C36" s="2">
        <v>1.0</v>
      </c>
      <c r="D36" s="7">
        <v>40.0</v>
      </c>
    </row>
    <row r="37">
      <c r="A37" s="2" t="s">
        <v>36</v>
      </c>
      <c r="B37" s="2"/>
      <c r="C37" s="2">
        <v>4.0</v>
      </c>
      <c r="D37" s="7">
        <f>2.25*(C37)</f>
        <v>9</v>
      </c>
    </row>
    <row r="38">
      <c r="A38" s="2"/>
      <c r="B38" s="2"/>
      <c r="D38" s="7"/>
      <c r="E38" s="2"/>
    </row>
    <row r="39">
      <c r="A39" s="2"/>
      <c r="B39" s="2"/>
      <c r="D39" s="7"/>
    </row>
    <row r="40">
      <c r="A40" s="1" t="s">
        <v>37</v>
      </c>
      <c r="B40" s="2"/>
      <c r="C40" s="2">
        <f>sum(C2:C37)</f>
        <v>26.8</v>
      </c>
      <c r="D40" s="5" t="str">
        <f>DOLLAR(sum(D3:D39),2)</f>
        <v>$1,988.00</v>
      </c>
    </row>
    <row r="41">
      <c r="A41" s="2"/>
      <c r="B41" s="2"/>
      <c r="D41" s="7"/>
    </row>
    <row r="42">
      <c r="A42" s="18" t="s">
        <v>38</v>
      </c>
      <c r="B42" s="2">
        <v>6.75</v>
      </c>
      <c r="D42" s="19">
        <f>SUM(D3:D41)*0.0675</f>
        <v>134.19</v>
      </c>
    </row>
    <row r="43">
      <c r="A43" s="18" t="s">
        <v>39</v>
      </c>
      <c r="B43" s="17"/>
      <c r="C43" s="17"/>
      <c r="D43" s="20" t="str">
        <f>DOLLAR(SUM(D1:D42),2)</f>
        <v>$2,122.19</v>
      </c>
    </row>
    <row r="44">
      <c r="A44" s="2"/>
      <c r="B44" s="2"/>
      <c r="D44" s="4"/>
    </row>
    <row r="45">
      <c r="D45" s="21"/>
    </row>
    <row r="46">
      <c r="A46" s="1"/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  <row r="1001">
      <c r="D1001" s="3"/>
    </row>
    <row r="1002">
      <c r="D1002" s="3"/>
    </row>
    <row r="1003">
      <c r="D1003" s="3"/>
    </row>
    <row r="1004">
      <c r="D1004" s="3"/>
    </row>
    <row r="1005">
      <c r="D1005" s="3"/>
    </row>
    <row r="1006">
      <c r="D1006" s="3"/>
    </row>
    <row r="1007">
      <c r="D1007" s="3"/>
    </row>
    <row r="1008">
      <c r="D1008" s="3"/>
    </row>
    <row r="1009">
      <c r="D1009" s="3"/>
    </row>
    <row r="1010">
      <c r="D1010" s="3"/>
    </row>
    <row r="1011">
      <c r="D1011" s="3"/>
    </row>
    <row r="1012">
      <c r="D1012" s="3"/>
    </row>
    <row r="1013">
      <c r="D1013" s="3"/>
    </row>
    <row r="1014">
      <c r="D1014" s="3"/>
    </row>
    <row r="1015">
      <c r="D1015" s="3"/>
    </row>
    <row r="1016">
      <c r="D1016" s="3"/>
    </row>
    <row r="1017">
      <c r="D1017" s="3"/>
    </row>
    <row r="1018">
      <c r="D1018" s="3"/>
    </row>
    <row r="1019">
      <c r="D1019" s="3"/>
    </row>
    <row r="1020">
      <c r="D1020" s="3"/>
    </row>
    <row r="1021">
      <c r="D1021" s="3"/>
    </row>
    <row r="1022">
      <c r="D1022" s="3"/>
    </row>
    <row r="1023">
      <c r="D1023" s="3"/>
    </row>
    <row r="1024">
      <c r="D1024" s="3"/>
    </row>
    <row r="1025">
      <c r="D1025" s="3"/>
    </row>
    <row r="1026">
      <c r="D1026" s="3"/>
    </row>
    <row r="1027">
      <c r="D1027" s="3"/>
    </row>
    <row r="1028">
      <c r="D1028" s="3"/>
    </row>
    <row r="1029">
      <c r="D1029" s="3"/>
    </row>
    <row r="1030">
      <c r="D1030" s="3"/>
    </row>
    <row r="1031">
      <c r="D1031" s="3"/>
    </row>
    <row r="1032">
      <c r="D1032" s="3"/>
    </row>
    <row r="1033">
      <c r="D1033" s="3"/>
    </row>
    <row r="1034">
      <c r="D1034" s="3"/>
    </row>
    <row r="1035">
      <c r="D1035" s="3"/>
    </row>
    <row r="1036">
      <c r="D1036" s="3"/>
    </row>
  </sheetData>
  <drawing r:id="rId1"/>
</worksheet>
</file>